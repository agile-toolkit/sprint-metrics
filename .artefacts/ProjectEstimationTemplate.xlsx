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30" yWindow="0" windowWidth="19320" windowHeight="12120"/>
  </bookViews>
  <sheets>
    <sheet name="RoughEstimations" sheetId="1" r:id="rId1"/>
    <sheet name="Backlog" sheetId="4" r:id="rId2"/>
    <sheet name="Risks" sheetId="5" r:id="rId3"/>
    <sheet name="Calcs" sheetId="3" r:id="rId4"/>
  </sheets>
  <definedNames>
    <definedName name="ConfidenceLevel">RoughEstimations!$B$3</definedName>
    <definedName name="InflowDev">RoughEstimations!$C$13</definedName>
    <definedName name="MeanInflow">RoughEstimations!$B$13</definedName>
    <definedName name="MeanVelocity">RoughEstimations!$B$12</definedName>
    <definedName name="VelocityDev">RoughEstimations!$C$12</definedName>
    <definedName name="WorkToDo">Backlog!$C$17</definedName>
  </definedNames>
  <calcPr calcId="125725"/>
</workbook>
</file>

<file path=xl/calcChain.xml><?xml version="1.0" encoding="utf-8"?>
<calcChain xmlns="http://schemas.openxmlformats.org/spreadsheetml/2006/main">
  <c r="A4" i="1"/>
  <c r="B39" i="3"/>
  <c r="E39" s="1"/>
  <c r="F39"/>
  <c r="B40"/>
  <c r="E40" s="1"/>
  <c r="F40"/>
  <c r="B41"/>
  <c r="E41" s="1"/>
  <c r="F41"/>
  <c r="B42"/>
  <c r="E42" s="1"/>
  <c r="F42"/>
  <c r="F32" l="1"/>
  <c r="F33"/>
  <c r="F34"/>
  <c r="F35"/>
  <c r="F36"/>
  <c r="F37"/>
  <c r="F38"/>
  <c r="E33"/>
  <c r="E34"/>
  <c r="E35"/>
  <c r="E36"/>
  <c r="E37"/>
  <c r="E38"/>
  <c r="E32"/>
  <c r="B34"/>
  <c r="B35" s="1"/>
  <c r="B36" s="1"/>
  <c r="B37" s="1"/>
  <c r="B38" s="1"/>
  <c r="B33"/>
  <c r="B32"/>
  <c r="F31"/>
  <c r="F30"/>
  <c r="F29"/>
  <c r="F28"/>
  <c r="F27"/>
  <c r="F26"/>
  <c r="F25"/>
  <c r="F24"/>
  <c r="F23"/>
  <c r="E31"/>
  <c r="E30"/>
  <c r="E29"/>
  <c r="E28"/>
  <c r="B31"/>
  <c r="B30"/>
  <c r="B29"/>
  <c r="B28"/>
  <c r="E27"/>
  <c r="E26"/>
  <c r="E25"/>
  <c r="E24"/>
  <c r="E23"/>
  <c r="B27"/>
  <c r="B26"/>
  <c r="B25"/>
  <c r="E22"/>
  <c r="F22"/>
  <c r="B24"/>
  <c r="B23"/>
  <c r="B22"/>
  <c r="A7" i="1"/>
  <c r="C17" i="4"/>
  <c r="F2" i="3"/>
  <c r="E2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" i="1" l="1"/>
  <c r="C42" i="3"/>
  <c r="C40"/>
  <c r="C41"/>
  <c r="A41" s="1"/>
  <c r="C39"/>
  <c r="C37"/>
  <c r="C35"/>
  <c r="C33"/>
  <c r="C38"/>
  <c r="C36"/>
  <c r="A36" s="1"/>
  <c r="C34"/>
  <c r="C32"/>
  <c r="C24"/>
  <c r="C26"/>
  <c r="C28"/>
  <c r="C22"/>
  <c r="C23"/>
  <c r="C25"/>
  <c r="A25" s="1"/>
  <c r="C27"/>
  <c r="C29"/>
  <c r="A29" s="1"/>
  <c r="C31"/>
  <c r="C30"/>
  <c r="A30" s="1"/>
  <c r="E18"/>
  <c r="E12"/>
  <c r="E6"/>
  <c r="F21"/>
  <c r="F19"/>
  <c r="F17"/>
  <c r="F15"/>
  <c r="F13"/>
  <c r="F11"/>
  <c r="F9"/>
  <c r="F7"/>
  <c r="F5"/>
  <c r="F3"/>
  <c r="E20"/>
  <c r="E16"/>
  <c r="E14"/>
  <c r="E10"/>
  <c r="E8"/>
  <c r="E4"/>
  <c r="E21"/>
  <c r="C21" s="1"/>
  <c r="E19"/>
  <c r="C19" s="1"/>
  <c r="E17"/>
  <c r="C17" s="1"/>
  <c r="E15"/>
  <c r="C15" s="1"/>
  <c r="E13"/>
  <c r="C13" s="1"/>
  <c r="E11"/>
  <c r="C11" s="1"/>
  <c r="E9"/>
  <c r="C9" s="1"/>
  <c r="E7"/>
  <c r="C7" s="1"/>
  <c r="E5"/>
  <c r="C5" s="1"/>
  <c r="E3"/>
  <c r="F20"/>
  <c r="C20" s="1"/>
  <c r="F18"/>
  <c r="F16"/>
  <c r="F14"/>
  <c r="F12"/>
  <c r="C12" s="1"/>
  <c r="F10"/>
  <c r="F8"/>
  <c r="C8" s="1"/>
  <c r="F6"/>
  <c r="C6" s="1"/>
  <c r="F4"/>
  <c r="C10"/>
  <c r="C2"/>
  <c r="A2" s="1"/>
  <c r="A10" l="1"/>
  <c r="A6"/>
  <c r="A27"/>
  <c r="A8"/>
  <c r="A12"/>
  <c r="A20"/>
  <c r="A7"/>
  <c r="A11"/>
  <c r="A31"/>
  <c r="A23"/>
  <c r="A28"/>
  <c r="A24"/>
  <c r="A34"/>
  <c r="A38"/>
  <c r="A35"/>
  <c r="A39"/>
  <c r="A40"/>
  <c r="D33"/>
  <c r="A32"/>
  <c r="A9"/>
  <c r="A13"/>
  <c r="A21"/>
  <c r="A22"/>
  <c r="A26"/>
  <c r="A33"/>
  <c r="A37"/>
  <c r="A42"/>
  <c r="C18"/>
  <c r="D41"/>
  <c r="D42"/>
  <c r="D39"/>
  <c r="D40"/>
  <c r="D36"/>
  <c r="D37"/>
  <c r="D34"/>
  <c r="D35"/>
  <c r="D38"/>
  <c r="D32"/>
  <c r="D30"/>
  <c r="D29"/>
  <c r="D25"/>
  <c r="D22"/>
  <c r="D26"/>
  <c r="D31"/>
  <c r="D27"/>
  <c r="D23"/>
  <c r="D28"/>
  <c r="D24"/>
  <c r="C14"/>
  <c r="A14" s="1"/>
  <c r="D2"/>
  <c r="D10"/>
  <c r="C4"/>
  <c r="C16"/>
  <c r="A16" s="1"/>
  <c r="D11"/>
  <c r="C3"/>
  <c r="A3" s="1"/>
  <c r="D20"/>
  <c r="D21"/>
  <c r="D6"/>
  <c r="D9"/>
  <c r="D13"/>
  <c r="D12"/>
  <c r="D7"/>
  <c r="D8"/>
  <c r="A17" l="1"/>
  <c r="A15"/>
  <c r="D19"/>
  <c r="A18"/>
  <c r="A4"/>
  <c r="A5"/>
  <c r="A19"/>
  <c r="D18"/>
  <c r="D15"/>
  <c r="D14"/>
  <c r="D17"/>
  <c r="D16"/>
  <c r="D5"/>
  <c r="D4"/>
  <c r="D3"/>
  <c r="B4" i="1" l="1"/>
  <c r="B6" s="1"/>
</calcChain>
</file>

<file path=xl/comments1.xml><?xml version="1.0" encoding="utf-8"?>
<comments xmlns="http://schemas.openxmlformats.org/spreadsheetml/2006/main">
  <authors>
    <author>dorofeev</author>
  </authors>
  <commentList>
    <comment ref="B2" authorId="0">
      <text>
        <r>
          <rPr>
            <b/>
            <sz val="8"/>
            <color indexed="81"/>
            <rFont val="Tahoma"/>
            <family val="2"/>
            <charset val="204"/>
          </rPr>
          <t>This field is calculated as sum of story-point of backlog items (see Backlog Sheet)</t>
        </r>
      </text>
    </comment>
    <comment ref="B3" authorId="0">
      <text>
        <r>
          <rPr>
            <b/>
            <sz val="8"/>
            <color indexed="81"/>
            <rFont val="Tahoma"/>
            <family val="2"/>
            <charset val="204"/>
          </rPr>
          <t>This parameter can be adjusted. The model works poorely for very low (&lt;20%) and high (&gt; 80%) probabilities</t>
        </r>
      </text>
    </comment>
    <comment ref="B6" authorId="0">
      <text>
        <r>
          <rPr>
            <b/>
            <sz val="8"/>
            <color indexed="81"/>
            <rFont val="Tahoma"/>
            <family val="2"/>
            <charset val="204"/>
          </rPr>
          <t>This field is calculated based on desired confidence level</t>
        </r>
      </text>
    </comment>
    <comment ref="B12" authorId="0">
      <text>
        <r>
          <rPr>
            <b/>
            <sz val="8"/>
            <color indexed="81"/>
            <rFont val="Tahoma"/>
            <family val="2"/>
            <charset val="204"/>
          </rPr>
          <t>This parameter reflects expected team velocity (how many story points they could deliver in average)</t>
        </r>
      </text>
    </comment>
    <comment ref="C12" authorId="0">
      <text>
        <r>
          <rPr>
            <b/>
            <sz val="8"/>
            <color indexed="81"/>
            <rFont val="Tahoma"/>
            <family val="2"/>
            <charset val="204"/>
          </rPr>
          <t>This parameters reflects standard deviation of the team velocity (how stable their velocity is. Higher values means less stability)</t>
        </r>
      </text>
    </comment>
    <comment ref="B13" authorId="0">
      <text>
        <r>
          <rPr>
            <b/>
            <sz val="8"/>
            <color indexed="81"/>
            <rFont val="Tahoma"/>
            <family val="2"/>
            <charset val="204"/>
          </rPr>
          <t>This parameter shows how many additional story points in average customer would return to the backlog after the demo (requirements inflow)</t>
        </r>
      </text>
    </comment>
    <comment ref="C13" authorId="0">
      <text>
        <r>
          <rPr>
            <b/>
            <sz val="8"/>
            <color indexed="81"/>
            <rFont val="Tahoma"/>
            <family val="2"/>
            <charset val="204"/>
          </rPr>
          <t>This parameter reflects expected deviation from average requirements inflow</t>
        </r>
      </text>
    </comment>
  </commentList>
</comments>
</file>

<file path=xl/sharedStrings.xml><?xml version="1.0" encoding="utf-8"?>
<sst xmlns="http://schemas.openxmlformats.org/spreadsheetml/2006/main" count="43" uniqueCount="40">
  <si>
    <t>Inception</t>
  </si>
  <si>
    <t>Phase</t>
  </si>
  <si>
    <t>Stage</t>
  </si>
  <si>
    <t>Comment</t>
  </si>
  <si>
    <t>Elaboration</t>
  </si>
  <si>
    <t>Transition</t>
  </si>
  <si>
    <t>TOTAL:</t>
  </si>
  <si>
    <t>Model Parameters</t>
  </si>
  <si>
    <t>Mean</t>
  </si>
  <si>
    <t>Std. Deviation</t>
  </si>
  <si>
    <t>N</t>
  </si>
  <si>
    <t>Construction</t>
  </si>
  <si>
    <t>Expected Velocity (FTE/week):</t>
  </si>
  <si>
    <t>Expected requirements flaw (FTE/week):</t>
  </si>
  <si>
    <t>Confidence Level:</t>
  </si>
  <si>
    <t>BACKLOG</t>
  </si>
  <si>
    <t>SUMMARY:</t>
  </si>
  <si>
    <t>Cumulative</t>
  </si>
  <si>
    <t>Probability</t>
  </si>
  <si>
    <t>RISKS</t>
  </si>
  <si>
    <t>Risk Description</t>
  </si>
  <si>
    <t>Impact</t>
  </si>
  <si>
    <t>Release</t>
  </si>
  <si>
    <t>Documentation development</t>
  </si>
  <si>
    <t>Estimate (SP)</t>
  </si>
  <si>
    <t>Create prototype</t>
  </si>
  <si>
    <t>Create architecture concept</t>
  </si>
  <si>
    <t>Implement User Story 1</t>
  </si>
  <si>
    <t>Implement User Story 2</t>
  </si>
  <si>
    <t>Implement User Story 3</t>
  </si>
  <si>
    <t>Implement User Story 4</t>
  </si>
  <si>
    <t>Implement User Story 5</t>
  </si>
  <si>
    <t>Implement User Story 6</t>
  </si>
  <si>
    <t>Implement User Story 7</t>
  </si>
  <si>
    <t>Implement User Story 8</t>
  </si>
  <si>
    <t>Implement User Story 9</t>
  </si>
  <si>
    <t>Implement User Story 10</t>
  </si>
  <si>
    <t>Effort estimation (Backlog Size):</t>
  </si>
  <si>
    <t>Sprint cost:</t>
  </si>
  <si>
    <t>Budget estimation:</t>
  </si>
</sst>
</file>

<file path=xl/styles.xml><?xml version="1.0" encoding="utf-8"?>
<styleSheet xmlns="http://schemas.openxmlformats.org/spreadsheetml/2006/main">
  <numFmts count="1">
    <numFmt numFmtId="164" formatCode="[$$-409]#,##0.00"/>
  </numFmts>
  <fonts count="8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b/>
      <u/>
      <sz val="14"/>
      <color theme="10"/>
      <name val="Calibri"/>
      <family val="2"/>
      <charset val="204"/>
    </font>
    <font>
      <b/>
      <sz val="8"/>
      <color indexed="81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Border="1"/>
    <xf numFmtId="0" fontId="0" fillId="0" borderId="9" xfId="0" applyBorder="1" applyAlignment="1">
      <alignment horizontal="right"/>
    </xf>
    <xf numFmtId="9" fontId="2" fillId="0" borderId="1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9" fontId="2" fillId="0" borderId="0" xfId="0" applyNumberFormat="1" applyFont="1" applyBorder="1" applyAlignment="1">
      <alignment horizontal="left"/>
    </xf>
    <xf numFmtId="0" fontId="0" fillId="0" borderId="16" xfId="0" applyBorder="1" applyAlignment="1">
      <alignment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 indent="5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9" xfId="0" applyBorder="1" applyAlignment="1">
      <alignment horizontal="right"/>
    </xf>
    <xf numFmtId="164" fontId="2" fillId="0" borderId="20" xfId="0" applyNumberFormat="1" applyFont="1" applyBorder="1" applyAlignment="1">
      <alignment horizontal="left"/>
    </xf>
    <xf numFmtId="0" fontId="0" fillId="0" borderId="23" xfId="0" applyBorder="1" applyAlignment="1">
      <alignment horizontal="right" wrapText="1"/>
    </xf>
    <xf numFmtId="0" fontId="5" fillId="0" borderId="7" xfId="1" applyBorder="1" applyAlignment="1" applyProtection="1">
      <alignment horizontal="right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6" fillId="0" borderId="21" xfId="1" applyFont="1" applyBorder="1" applyAlignment="1" applyProtection="1">
      <alignment horizontal="center"/>
    </xf>
    <xf numFmtId="0" fontId="6" fillId="0" borderId="22" xfId="1" applyFont="1" applyBorder="1" applyAlignment="1" applyProtection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23" xfId="0" applyBorder="1" applyAlignment="1">
      <alignment horizontal="right"/>
    </xf>
    <xf numFmtId="0" fontId="2" fillId="3" borderId="8" xfId="0" applyFont="1" applyFill="1" applyBorder="1" applyAlignment="1">
      <alignment horizontal="left"/>
    </xf>
    <xf numFmtId="0" fontId="2" fillId="3" borderId="20" xfId="0" applyNumberFormat="1" applyFont="1" applyFill="1" applyBorder="1" applyAlignment="1">
      <alignment horizontal="left"/>
    </xf>
    <xf numFmtId="164" fontId="2" fillId="3" borderId="20" xfId="0" applyNumberFormat="1" applyFont="1" applyFill="1" applyBorder="1" applyAlignment="1">
      <alignment horizontal="left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en-US"/>
              <a:t>Delivery date uncertainty window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2248188133955624E-2"/>
          <c:y val="0.15362380085840863"/>
          <c:w val="0.86235925624642984"/>
          <c:h val="0.68449373729707663"/>
        </c:manualLayout>
      </c:layout>
      <c:barChart>
        <c:barDir val="col"/>
        <c:grouping val="clustered"/>
        <c:ser>
          <c:idx val="1"/>
          <c:order val="1"/>
          <c:tx>
            <c:strRef>
              <c:f>Calcs!$D$1</c:f>
              <c:strCache>
                <c:ptCount val="1"/>
                <c:pt idx="0">
                  <c:v>Probability</c:v>
                </c:pt>
              </c:strCache>
            </c:strRef>
          </c:tx>
          <c:cat>
            <c:numRef>
              <c:f>Calcs!$B$2:$B$42</c:f>
              <c:numCache>
                <c:formatCode>General</c:formatCode>
                <c:ptCount val="4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</c:numCache>
            </c:numRef>
          </c:cat>
          <c:val>
            <c:numRef>
              <c:f>Calcs!$D$2:$D$42</c:f>
              <c:numCache>
                <c:formatCode>General</c:formatCode>
                <c:ptCount val="41"/>
                <c:pt idx="0">
                  <c:v>0</c:v>
                </c:pt>
                <c:pt idx="1">
                  <c:v>1.3815925070659318E-9</c:v>
                </c:pt>
                <c:pt idx="2">
                  <c:v>7.1963394807639247E-6</c:v>
                </c:pt>
                <c:pt idx="3">
                  <c:v>4.6031545524594097E-4</c:v>
                </c:pt>
                <c:pt idx="4">
                  <c:v>4.7660949872366798E-3</c:v>
                </c:pt>
                <c:pt idx="5">
                  <c:v>1.90825440937894E-2</c:v>
                </c:pt>
                <c:pt idx="6">
                  <c:v>4.4129011793723527E-2</c:v>
                </c:pt>
                <c:pt idx="7">
                  <c:v>7.2703162240588481E-2</c:v>
                </c:pt>
                <c:pt idx="8">
                  <c:v>9.5988849092007555E-2</c:v>
                </c:pt>
                <c:pt idx="9">
                  <c:v>0.1089227906018182</c:v>
                </c:pt>
                <c:pt idx="10">
                  <c:v>0.11098865686851556</c:v>
                </c:pt>
                <c:pt idx="11">
                  <c:v>0.10450892141931201</c:v>
                </c:pt>
                <c:pt idx="12">
                  <c:v>9.2725965155251999E-2</c:v>
                </c:pt>
                <c:pt idx="13">
                  <c:v>7.8587351461755328E-2</c:v>
                </c:pt>
                <c:pt idx="14">
                  <c:v>6.4250881143931737E-2</c:v>
                </c:pt>
                <c:pt idx="15">
                  <c:v>5.1042366883899404E-2</c:v>
                </c:pt>
                <c:pt idx="16">
                  <c:v>3.9616715648353118E-2</c:v>
                </c:pt>
                <c:pt idx="17">
                  <c:v>3.0167422020604295E-2</c:v>
                </c:pt>
                <c:pt idx="18">
                  <c:v>2.2611185121524047E-2</c:v>
                </c:pt>
                <c:pt idx="19">
                  <c:v>1.6724347500040482E-2</c:v>
                </c:pt>
                <c:pt idx="20">
                  <c:v>1.2232268141986635E-2</c:v>
                </c:pt>
                <c:pt idx="21">
                  <c:v>8.8616977287333532E-3</c:v>
                </c:pt>
                <c:pt idx="22">
                  <c:v>6.3674697413919068E-3</c:v>
                </c:pt>
                <c:pt idx="23">
                  <c:v>4.5429839418104079E-3</c:v>
                </c:pt>
                <c:pt idx="24">
                  <c:v>3.221382195866207E-3</c:v>
                </c:pt>
                <c:pt idx="25">
                  <c:v>2.2719926746165298E-3</c:v>
                </c:pt>
                <c:pt idx="26">
                  <c:v>1.594847840304725E-3</c:v>
                </c:pt>
                <c:pt idx="27">
                  <c:v>1.114859861327866E-3</c:v>
                </c:pt>
                <c:pt idx="28">
                  <c:v>7.7645410981219687E-4</c:v>
                </c:pt>
                <c:pt idx="29">
                  <c:v>5.3899219042152779E-4</c:v>
                </c:pt>
                <c:pt idx="30">
                  <c:v>3.7305493605455098E-4</c:v>
                </c:pt>
                <c:pt idx="31">
                  <c:v>2.5752474608564668E-4</c:v>
                </c:pt>
                <c:pt idx="32">
                  <c:v>1.7735203700630642E-4</c:v>
                </c:pt>
                <c:pt idx="33">
                  <c:v>1.218779631237954E-4</c:v>
                </c:pt>
                <c:pt idx="34">
                  <c:v>8.3593879151577788E-5</c:v>
                </c:pt>
                <c:pt idx="35">
                  <c:v>5.7235049930826065E-5</c:v>
                </c:pt>
                <c:pt idx="36">
                  <c:v>3.9125235169690242E-5</c:v>
                </c:pt>
                <c:pt idx="37">
                  <c:v>2.6706711749313605E-5</c:v>
                </c:pt>
                <c:pt idx="38">
                  <c:v>1.8205683154803864E-5</c:v>
                </c:pt>
                <c:pt idx="39">
                  <c:v>1.239553710741248E-5</c:v>
                </c:pt>
                <c:pt idx="40">
                  <c:v>8.4302245956235922E-6</c:v>
                </c:pt>
              </c:numCache>
            </c:numRef>
          </c:val>
        </c:ser>
        <c:gapWidth val="75"/>
        <c:overlap val="-25"/>
        <c:axId val="96309632"/>
        <c:axId val="96311552"/>
      </c:barChart>
      <c:lineChart>
        <c:grouping val="standard"/>
        <c:ser>
          <c:idx val="0"/>
          <c:order val="0"/>
          <c:tx>
            <c:strRef>
              <c:f>Calcs!$C$1</c:f>
              <c:strCache>
                <c:ptCount val="1"/>
                <c:pt idx="0">
                  <c:v>Cumulative</c:v>
                </c:pt>
              </c:strCache>
            </c:strRef>
          </c:tx>
          <c:marker>
            <c:symbol val="none"/>
          </c:marker>
          <c:cat>
            <c:numRef>
              <c:f>Calcs!$B$2:$B$42</c:f>
              <c:numCache>
                <c:formatCode>General</c:formatCode>
                <c:ptCount val="4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</c:numCache>
            </c:numRef>
          </c:cat>
          <c:val>
            <c:numRef>
              <c:f>Calcs!$C$2:$C$42</c:f>
              <c:numCache>
                <c:formatCode>General</c:formatCode>
                <c:ptCount val="41"/>
                <c:pt idx="0">
                  <c:v>0</c:v>
                </c:pt>
                <c:pt idx="1">
                  <c:v>1.3815925070659318E-9</c:v>
                </c:pt>
                <c:pt idx="2">
                  <c:v>7.1977210732709906E-6</c:v>
                </c:pt>
                <c:pt idx="3">
                  <c:v>4.6751317631921196E-4</c:v>
                </c:pt>
                <c:pt idx="4">
                  <c:v>5.2336081635558918E-3</c:v>
                </c:pt>
                <c:pt idx="5">
                  <c:v>2.4316152257345292E-2</c:v>
                </c:pt>
                <c:pt idx="6">
                  <c:v>6.8445164051068819E-2</c:v>
                </c:pt>
                <c:pt idx="7">
                  <c:v>0.1411483262916573</c:v>
                </c:pt>
                <c:pt idx="8">
                  <c:v>0.23713717538366486</c:v>
                </c:pt>
                <c:pt idx="9">
                  <c:v>0.34605996598548305</c:v>
                </c:pt>
                <c:pt idx="10">
                  <c:v>0.45704862285399861</c:v>
                </c:pt>
                <c:pt idx="11">
                  <c:v>0.56155754427331062</c:v>
                </c:pt>
                <c:pt idx="12">
                  <c:v>0.65428350942856262</c:v>
                </c:pt>
                <c:pt idx="13">
                  <c:v>0.73287086089031794</c:v>
                </c:pt>
                <c:pt idx="14">
                  <c:v>0.79712174203424968</c:v>
                </c:pt>
                <c:pt idx="15">
                  <c:v>0.84816410891814908</c:v>
                </c:pt>
                <c:pt idx="16">
                  <c:v>0.8877808245665022</c:v>
                </c:pt>
                <c:pt idx="17">
                  <c:v>0.9179482465871065</c:v>
                </c:pt>
                <c:pt idx="18">
                  <c:v>0.94055943170863054</c:v>
                </c:pt>
                <c:pt idx="19">
                  <c:v>0.95728377920867103</c:v>
                </c:pt>
                <c:pt idx="20">
                  <c:v>0.96951604735065766</c:v>
                </c:pt>
                <c:pt idx="21">
                  <c:v>0.97837774507939101</c:v>
                </c:pt>
                <c:pt idx="22">
                  <c:v>0.98474521482078292</c:v>
                </c:pt>
                <c:pt idx="23">
                  <c:v>0.98928819876259333</c:v>
                </c:pt>
                <c:pt idx="24">
                  <c:v>0.99250958095845954</c:v>
                </c:pt>
                <c:pt idx="25">
                  <c:v>0.99478157363307607</c:v>
                </c:pt>
                <c:pt idx="26">
                  <c:v>0.99637642147338079</c:v>
                </c:pt>
                <c:pt idx="27">
                  <c:v>0.99749128133470866</c:v>
                </c:pt>
                <c:pt idx="28">
                  <c:v>0.99826773544452085</c:v>
                </c:pt>
                <c:pt idx="29">
                  <c:v>0.99880672763494238</c:v>
                </c:pt>
                <c:pt idx="30">
                  <c:v>0.99917978257099693</c:v>
                </c:pt>
                <c:pt idx="31">
                  <c:v>0.99943730731708258</c:v>
                </c:pt>
                <c:pt idx="32">
                  <c:v>0.99961465935408889</c:v>
                </c:pt>
                <c:pt idx="33">
                  <c:v>0.99973653731721268</c:v>
                </c:pt>
                <c:pt idx="34">
                  <c:v>0.99982013119636426</c:v>
                </c:pt>
                <c:pt idx="35">
                  <c:v>0.99987736624629509</c:v>
                </c:pt>
                <c:pt idx="36">
                  <c:v>0.99991649148146478</c:v>
                </c:pt>
                <c:pt idx="37">
                  <c:v>0.99994319819321409</c:v>
                </c:pt>
                <c:pt idx="38">
                  <c:v>0.99996140387636889</c:v>
                </c:pt>
                <c:pt idx="39">
                  <c:v>0.99997379941347631</c:v>
                </c:pt>
                <c:pt idx="40">
                  <c:v>0.99998222963807193</c:v>
                </c:pt>
              </c:numCache>
            </c:numRef>
          </c:val>
        </c:ser>
        <c:marker val="1"/>
        <c:axId val="96319360"/>
        <c:axId val="96317824"/>
      </c:lineChart>
      <c:catAx>
        <c:axId val="96309632"/>
        <c:scaling>
          <c:orientation val="minMax"/>
        </c:scaling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weeks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96311552"/>
        <c:crosses val="autoZero"/>
        <c:auto val="1"/>
        <c:lblAlgn val="ctr"/>
        <c:lblOffset val="100"/>
      </c:catAx>
      <c:valAx>
        <c:axId val="96311552"/>
        <c:scaling>
          <c:orientation val="minMax"/>
        </c:scaling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Probability</a:t>
                </a:r>
                <a:endParaRPr lang="ru-RU"/>
              </a:p>
            </c:rich>
          </c:tx>
          <c:layout/>
        </c:title>
        <c:numFmt formatCode="0%" sourceLinked="0"/>
        <c:majorTickMark val="none"/>
        <c:tickLblPos val="nextTo"/>
        <c:spPr>
          <a:ln w="9525">
            <a:noFill/>
          </a:ln>
        </c:spPr>
        <c:crossAx val="96309632"/>
        <c:crosses val="autoZero"/>
        <c:crossBetween val="between"/>
        <c:majorUnit val="0.05"/>
      </c:valAx>
      <c:valAx>
        <c:axId val="96317824"/>
        <c:scaling>
          <c:orientation val="minMax"/>
          <c:max val="1"/>
        </c:scaling>
        <c:axPos val="r"/>
        <c:numFmt formatCode="0%" sourceLinked="0"/>
        <c:tickLblPos val="nextTo"/>
        <c:crossAx val="96319360"/>
        <c:crosses val="max"/>
        <c:crossBetween val="between"/>
        <c:majorUnit val="0.2"/>
      </c:valAx>
      <c:catAx>
        <c:axId val="96319360"/>
        <c:scaling>
          <c:orientation val="minMax"/>
        </c:scaling>
        <c:delete val="1"/>
        <c:axPos val="b"/>
        <c:numFmt formatCode="General" sourceLinked="1"/>
        <c:tickLblPos val="none"/>
        <c:crossAx val="96317824"/>
        <c:crosses val="autoZero"/>
        <c:lblAlgn val="ctr"/>
        <c:lblOffset val="100"/>
      </c:catAx>
    </c:plotArea>
    <c:legend>
      <c:legendPos val="b"/>
      <c:layout/>
    </c:legend>
    <c:plotVisOnly val="1"/>
    <c:dispBlanksAs val="gap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337185</xdr:colOff>
      <xdr:row>14</xdr:row>
      <xdr:rowOff>22860</xdr:rowOff>
    </xdr:from>
    <xdr:to>
      <xdr:col>4</xdr:col>
      <xdr:colOff>548640</xdr:colOff>
      <xdr:row>36</xdr:row>
      <xdr:rowOff>7620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>
      <selection activeCell="C5" sqref="C5"/>
    </sheetView>
  </sheetViews>
  <sheetFormatPr defaultRowHeight="15"/>
  <cols>
    <col min="1" max="1" width="50.5703125" customWidth="1"/>
    <col min="2" max="2" width="15.85546875" customWidth="1"/>
    <col min="3" max="3" width="11.5703125" customWidth="1"/>
    <col min="4" max="4" width="34.85546875" customWidth="1"/>
  </cols>
  <sheetData>
    <row r="1" spans="1:4" ht="21.75" thickBot="1">
      <c r="A1" s="24" t="s">
        <v>16</v>
      </c>
      <c r="B1" s="23"/>
      <c r="C1" s="23"/>
      <c r="D1" s="12"/>
    </row>
    <row r="2" spans="1:4" ht="18.75">
      <c r="A2" s="34" t="s">
        <v>37</v>
      </c>
      <c r="B2" s="48">
        <f>WorkToDo</f>
        <v>114</v>
      </c>
      <c r="C2" s="15"/>
      <c r="D2" s="12"/>
    </row>
    <row r="3" spans="1:4" ht="18.75">
      <c r="A3" s="13" t="s">
        <v>14</v>
      </c>
      <c r="B3" s="14">
        <v>0.8</v>
      </c>
      <c r="C3" s="16"/>
    </row>
    <row r="4" spans="1:4" ht="18.75">
      <c r="A4" s="31" t="str">
        <f>"Expected duration with " &amp; ConfidenceLevel &amp; " confidence (sprints):"</f>
        <v>Expected duration with 0,8 confidence (sprints):</v>
      </c>
      <c r="B4" s="49">
        <f>VLOOKUP(1,Calcs!A:B,2,FALSE)</f>
        <v>16</v>
      </c>
      <c r="C4" s="16"/>
    </row>
    <row r="5" spans="1:4" ht="18.75">
      <c r="A5" s="47" t="s">
        <v>38</v>
      </c>
      <c r="B5" s="32">
        <v>10000</v>
      </c>
      <c r="C5" s="16"/>
    </row>
    <row r="6" spans="1:4" ht="18.75">
      <c r="A6" s="33" t="s">
        <v>39</v>
      </c>
      <c r="B6" s="50">
        <f>B4*B5</f>
        <v>160000</v>
      </c>
      <c r="C6" s="16"/>
    </row>
    <row r="7" spans="1:4" ht="19.5" thickBot="1">
      <c r="A7" s="41" t="str">
        <f>COUNTA(Risks!C:C)-1 &amp; " risks identified, " &amp; COUNTIF(Risks!C:C,"High") &amp; " with high possible impact"</f>
        <v>0 risks identified, 0 with high possible impact</v>
      </c>
      <c r="B7" s="42"/>
      <c r="C7" s="15"/>
    </row>
    <row r="10" spans="1:4" ht="21.75" thickBot="1">
      <c r="A10" s="7" t="s">
        <v>7</v>
      </c>
    </row>
    <row r="11" spans="1:4" ht="30.75" thickBot="1">
      <c r="A11" s="17"/>
      <c r="B11" s="19" t="s">
        <v>8</v>
      </c>
      <c r="C11" s="18" t="s">
        <v>9</v>
      </c>
      <c r="D11" s="20" t="s">
        <v>3</v>
      </c>
    </row>
    <row r="12" spans="1:4">
      <c r="A12" s="10" t="s">
        <v>12</v>
      </c>
      <c r="B12" s="21">
        <v>15</v>
      </c>
      <c r="C12" s="21">
        <v>5</v>
      </c>
      <c r="D12" s="11"/>
    </row>
    <row r="13" spans="1:4" ht="15.75" thickBot="1">
      <c r="A13" s="8" t="s">
        <v>13</v>
      </c>
      <c r="B13" s="22">
        <v>5</v>
      </c>
      <c r="C13" s="22">
        <v>10</v>
      </c>
      <c r="D13" s="9"/>
    </row>
    <row r="14" spans="1:4">
      <c r="A14" s="12"/>
      <c r="B14" s="23"/>
      <c r="C14" s="23"/>
      <c r="D14" s="12"/>
    </row>
    <row r="15" spans="1:4" s="2" customFormat="1" ht="18.75"/>
    <row r="28" s="1" customFormat="1" ht="18.75"/>
  </sheetData>
  <mergeCells count="1">
    <mergeCell ref="A7:B7"/>
  </mergeCells>
  <hyperlinks>
    <hyperlink ref="A7:B7" location="Risks!A1" display="Risks!A1"/>
    <hyperlink ref="A2" location="Backlog!A1" display="Effort estimation (FTE):"/>
  </hyperlinks>
  <pageMargins left="0.7" right="0.7" top="0.75" bottom="0.75" header="0.3" footer="0.3"/>
  <pageSetup paperSize="9" orientation="landscape" r:id="rId1"/>
  <ignoredErrors>
    <ignoredError sqref="B4" evalError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selection activeCell="B21" sqref="B21"/>
    </sheetView>
  </sheetViews>
  <sheetFormatPr defaultRowHeight="15"/>
  <cols>
    <col min="1" max="1" width="17.5703125" customWidth="1"/>
    <col min="2" max="2" width="36.85546875" customWidth="1"/>
    <col min="3" max="3" width="13.85546875" style="35" customWidth="1"/>
    <col min="4" max="4" width="59.42578125" style="37" customWidth="1"/>
  </cols>
  <sheetData>
    <row r="1" spans="1:4" ht="21">
      <c r="B1" s="7" t="s">
        <v>15</v>
      </c>
    </row>
    <row r="2" spans="1:4" ht="37.5">
      <c r="A2" s="4" t="s">
        <v>1</v>
      </c>
      <c r="B2" s="4" t="s">
        <v>2</v>
      </c>
      <c r="C2" s="4" t="s">
        <v>24</v>
      </c>
      <c r="D2" s="38" t="s">
        <v>3</v>
      </c>
    </row>
    <row r="3" spans="1:4">
      <c r="A3" s="6" t="s">
        <v>0</v>
      </c>
      <c r="B3" s="3" t="s">
        <v>26</v>
      </c>
      <c r="C3" s="29">
        <v>8</v>
      </c>
      <c r="D3" s="39"/>
    </row>
    <row r="4" spans="1:4">
      <c r="A4" s="6" t="s">
        <v>4</v>
      </c>
      <c r="B4" s="3" t="s">
        <v>25</v>
      </c>
      <c r="C4" s="29">
        <v>8</v>
      </c>
      <c r="D4" s="39"/>
    </row>
    <row r="5" spans="1:4">
      <c r="A5" s="43" t="s">
        <v>11</v>
      </c>
      <c r="B5" s="3" t="s">
        <v>27</v>
      </c>
      <c r="C5" s="29">
        <v>2</v>
      </c>
      <c r="D5" s="39"/>
    </row>
    <row r="6" spans="1:4">
      <c r="A6" s="44"/>
      <c r="B6" s="3" t="s">
        <v>28</v>
      </c>
      <c r="C6" s="29">
        <v>4</v>
      </c>
      <c r="D6" s="39"/>
    </row>
    <row r="7" spans="1:4">
      <c r="A7" s="44"/>
      <c r="B7" s="3" t="s">
        <v>29</v>
      </c>
      <c r="C7" s="29">
        <v>8</v>
      </c>
      <c r="D7" s="39"/>
    </row>
    <row r="8" spans="1:4">
      <c r="A8" s="44"/>
      <c r="B8" s="3" t="s">
        <v>30</v>
      </c>
      <c r="C8" s="29">
        <v>16</v>
      </c>
      <c r="D8" s="39"/>
    </row>
    <row r="9" spans="1:4">
      <c r="A9" s="44"/>
      <c r="B9" s="3" t="s">
        <v>31</v>
      </c>
      <c r="C9" s="29">
        <v>2</v>
      </c>
      <c r="D9" s="39"/>
    </row>
    <row r="10" spans="1:4">
      <c r="A10" s="44"/>
      <c r="B10" s="3" t="s">
        <v>32</v>
      </c>
      <c r="C10" s="29">
        <v>4</v>
      </c>
      <c r="D10" s="39"/>
    </row>
    <row r="11" spans="1:4">
      <c r="A11" s="44"/>
      <c r="B11" s="3" t="s">
        <v>33</v>
      </c>
      <c r="C11" s="29">
        <v>8</v>
      </c>
      <c r="D11" s="39"/>
    </row>
    <row r="12" spans="1:4">
      <c r="A12" s="44"/>
      <c r="B12" s="3" t="s">
        <v>34</v>
      </c>
      <c r="C12" s="29">
        <v>16</v>
      </c>
      <c r="D12" s="39"/>
    </row>
    <row r="13" spans="1:4">
      <c r="A13" s="44"/>
      <c r="B13" s="3" t="s">
        <v>35</v>
      </c>
      <c r="C13" s="29">
        <v>2</v>
      </c>
      <c r="D13" s="39"/>
    </row>
    <row r="14" spans="1:4">
      <c r="A14" s="44"/>
      <c r="B14" s="3" t="s">
        <v>36</v>
      </c>
      <c r="C14" s="29">
        <v>4</v>
      </c>
      <c r="D14" s="39"/>
    </row>
    <row r="15" spans="1:4">
      <c r="A15" s="43" t="s">
        <v>5</v>
      </c>
      <c r="B15" s="3" t="s">
        <v>23</v>
      </c>
      <c r="C15" s="29">
        <v>16</v>
      </c>
      <c r="D15" s="39"/>
    </row>
    <row r="16" spans="1:4">
      <c r="A16" s="44"/>
      <c r="B16" s="3" t="s">
        <v>22</v>
      </c>
      <c r="C16" s="29">
        <v>16</v>
      </c>
      <c r="D16" s="39"/>
    </row>
    <row r="17" spans="1:4" ht="18.75">
      <c r="A17" s="45" t="s">
        <v>6</v>
      </c>
      <c r="B17" s="46"/>
      <c r="C17" s="36">
        <f>SUM(C3:C16)</f>
        <v>114</v>
      </c>
      <c r="D17" s="40"/>
    </row>
  </sheetData>
  <mergeCells count="3">
    <mergeCell ref="A15:A16"/>
    <mergeCell ref="A17:B17"/>
    <mergeCell ref="A5:A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50.42578125" bestFit="1" customWidth="1"/>
    <col min="2" max="2" width="13.85546875" bestFit="1" customWidth="1"/>
    <col min="3" max="3" width="9" bestFit="1" customWidth="1"/>
    <col min="4" max="4" width="50.42578125" customWidth="1"/>
  </cols>
  <sheetData>
    <row r="1" spans="1:4" ht="21">
      <c r="A1" s="7" t="s">
        <v>19</v>
      </c>
    </row>
    <row r="2" spans="1:4" ht="18.75">
      <c r="A2" s="4" t="s">
        <v>20</v>
      </c>
      <c r="B2" s="4" t="s">
        <v>18</v>
      </c>
      <c r="C2" s="4" t="s">
        <v>21</v>
      </c>
      <c r="D2" s="4" t="s">
        <v>3</v>
      </c>
    </row>
    <row r="3" spans="1:4">
      <c r="A3" s="26"/>
      <c r="B3" s="5"/>
      <c r="C3" s="5"/>
      <c r="D3" s="5"/>
    </row>
    <row r="4" spans="1:4">
      <c r="A4" s="28"/>
      <c r="B4" s="29"/>
      <c r="C4" s="29"/>
      <c r="D4" s="5"/>
    </row>
    <row r="5" spans="1:4">
      <c r="A5" s="28"/>
      <c r="B5" s="29"/>
      <c r="C5" s="29"/>
      <c r="D5" s="5"/>
    </row>
    <row r="6" spans="1:4">
      <c r="A6" s="28"/>
      <c r="B6" s="29"/>
      <c r="C6" s="29"/>
      <c r="D6" s="5"/>
    </row>
    <row r="7" spans="1:4">
      <c r="A7" s="28"/>
      <c r="B7" s="29"/>
      <c r="C7" s="29"/>
      <c r="D7" s="5"/>
    </row>
    <row r="8" spans="1:4">
      <c r="A8" s="27"/>
      <c r="B8" s="30"/>
      <c r="C8" s="30"/>
      <c r="D8" s="25"/>
    </row>
    <row r="9" spans="1:4">
      <c r="A9" s="27"/>
      <c r="B9" s="29"/>
      <c r="C9" s="29"/>
      <c r="D9" s="5"/>
    </row>
    <row r="10" spans="1:4">
      <c r="A10" s="27"/>
      <c r="B10" s="5"/>
      <c r="C10" s="5"/>
      <c r="D10" s="5"/>
    </row>
    <row r="11" spans="1:4">
      <c r="A11" s="27"/>
      <c r="B11" s="5"/>
      <c r="C11" s="5"/>
      <c r="D11" s="5"/>
    </row>
  </sheetData>
  <pageMargins left="0.7" right="0.7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selection activeCell="I17" sqref="I17"/>
    </sheetView>
  </sheetViews>
  <sheetFormatPr defaultRowHeight="15"/>
  <cols>
    <col min="2" max="2" width="3" bestFit="1" customWidth="1"/>
    <col min="3" max="3" width="19.85546875" bestFit="1" customWidth="1"/>
    <col min="4" max="4" width="19.42578125" bestFit="1" customWidth="1"/>
    <col min="5" max="5" width="4" bestFit="1" customWidth="1"/>
    <col min="6" max="6" width="12" bestFit="1" customWidth="1"/>
    <col min="7" max="7" width="11.7109375" customWidth="1"/>
  </cols>
  <sheetData>
    <row r="1" spans="1:6">
      <c r="B1" t="s">
        <v>10</v>
      </c>
      <c r="C1" t="s">
        <v>17</v>
      </c>
      <c r="D1" t="s">
        <v>18</v>
      </c>
    </row>
    <row r="2" spans="1:6">
      <c r="A2">
        <f>IF(C2&gt;ConfidenceLevel,1,0)</f>
        <v>0</v>
      </c>
      <c r="B2">
        <v>1</v>
      </c>
      <c r="C2">
        <f t="shared" ref="C2:C21" si="0">1-NORMDIST(WorkToDo,E2,F2,TRUE)</f>
        <v>0</v>
      </c>
      <c r="D2">
        <f>C2</f>
        <v>0</v>
      </c>
      <c r="E2">
        <f t="shared" ref="E2:E21" si="1">B2*(MeanVelocity-MeanInflow)</f>
        <v>10</v>
      </c>
      <c r="F2">
        <f t="shared" ref="F2:F21" si="2">SQRT(B2)*SQRT(VelocityDev*VelocityDev + InflowDev*InflowDev)</f>
        <v>11.180339887498949</v>
      </c>
    </row>
    <row r="3" spans="1:6">
      <c r="A3">
        <f t="shared" ref="A3:A42" si="3">IF(AND(C3&gt;ConfidenceLevel,C2&lt;=ConfidenceLevel),1,0)</f>
        <v>0</v>
      </c>
      <c r="B3">
        <f>B2+1</f>
        <v>2</v>
      </c>
      <c r="C3">
        <f t="shared" si="0"/>
        <v>1.3815925070659318E-9</v>
      </c>
      <c r="D3">
        <f t="shared" ref="D3:D7" si="4">C3-C2</f>
        <v>1.3815925070659318E-9</v>
      </c>
      <c r="E3">
        <f t="shared" si="1"/>
        <v>20</v>
      </c>
      <c r="F3">
        <f t="shared" si="2"/>
        <v>15.811388300841898</v>
      </c>
    </row>
    <row r="4" spans="1:6">
      <c r="A4">
        <f t="shared" si="3"/>
        <v>0</v>
      </c>
      <c r="B4">
        <f t="shared" ref="B4:B21" si="5">B3+1</f>
        <v>3</v>
      </c>
      <c r="C4">
        <f t="shared" si="0"/>
        <v>7.1977210732709906E-6</v>
      </c>
      <c r="D4">
        <f t="shared" si="4"/>
        <v>7.1963394807639247E-6</v>
      </c>
      <c r="E4">
        <f t="shared" si="1"/>
        <v>30</v>
      </c>
      <c r="F4">
        <f t="shared" si="2"/>
        <v>19.364916731037084</v>
      </c>
    </row>
    <row r="5" spans="1:6">
      <c r="A5">
        <f t="shared" si="3"/>
        <v>0</v>
      </c>
      <c r="B5">
        <f t="shared" si="5"/>
        <v>4</v>
      </c>
      <c r="C5">
        <f t="shared" si="0"/>
        <v>4.6751317631921196E-4</v>
      </c>
      <c r="D5">
        <f t="shared" si="4"/>
        <v>4.6031545524594097E-4</v>
      </c>
      <c r="E5">
        <f t="shared" si="1"/>
        <v>40</v>
      </c>
      <c r="F5">
        <f t="shared" si="2"/>
        <v>22.360679774997898</v>
      </c>
    </row>
    <row r="6" spans="1:6">
      <c r="A6">
        <f t="shared" si="3"/>
        <v>0</v>
      </c>
      <c r="B6">
        <f t="shared" si="5"/>
        <v>5</v>
      </c>
      <c r="C6">
        <f t="shared" si="0"/>
        <v>5.2336081635558918E-3</v>
      </c>
      <c r="D6">
        <f t="shared" si="4"/>
        <v>4.7660949872366798E-3</v>
      </c>
      <c r="E6">
        <f t="shared" si="1"/>
        <v>50</v>
      </c>
      <c r="F6">
        <f t="shared" si="2"/>
        <v>25.000000000000004</v>
      </c>
    </row>
    <row r="7" spans="1:6">
      <c r="A7">
        <f t="shared" si="3"/>
        <v>0</v>
      </c>
      <c r="B7">
        <f t="shared" si="5"/>
        <v>6</v>
      </c>
      <c r="C7">
        <f t="shared" si="0"/>
        <v>2.4316152257345292E-2</v>
      </c>
      <c r="D7">
        <f t="shared" si="4"/>
        <v>1.90825440937894E-2</v>
      </c>
      <c r="E7">
        <f t="shared" si="1"/>
        <v>60</v>
      </c>
      <c r="F7">
        <f t="shared" si="2"/>
        <v>27.386127875258303</v>
      </c>
    </row>
    <row r="8" spans="1:6">
      <c r="A8">
        <f t="shared" si="3"/>
        <v>0</v>
      </c>
      <c r="B8">
        <f t="shared" si="5"/>
        <v>7</v>
      </c>
      <c r="C8">
        <f t="shared" si="0"/>
        <v>6.8445164051068819E-2</v>
      </c>
      <c r="D8">
        <f t="shared" ref="D8:D21" si="6">C8-C7</f>
        <v>4.4129011793723527E-2</v>
      </c>
      <c r="E8">
        <f t="shared" si="1"/>
        <v>70</v>
      </c>
      <c r="F8">
        <f t="shared" si="2"/>
        <v>29.580398915498083</v>
      </c>
    </row>
    <row r="9" spans="1:6">
      <c r="A9">
        <f t="shared" si="3"/>
        <v>0</v>
      </c>
      <c r="B9">
        <f t="shared" si="5"/>
        <v>8</v>
      </c>
      <c r="C9">
        <f t="shared" si="0"/>
        <v>0.1411483262916573</v>
      </c>
      <c r="D9">
        <f t="shared" si="6"/>
        <v>7.2703162240588481E-2</v>
      </c>
      <c r="E9">
        <f t="shared" si="1"/>
        <v>80</v>
      </c>
      <c r="F9">
        <f t="shared" si="2"/>
        <v>31.622776601683796</v>
      </c>
    </row>
    <row r="10" spans="1:6">
      <c r="A10">
        <f t="shared" si="3"/>
        <v>0</v>
      </c>
      <c r="B10">
        <f t="shared" si="5"/>
        <v>9</v>
      </c>
      <c r="C10">
        <f t="shared" si="0"/>
        <v>0.23713717538366486</v>
      </c>
      <c r="D10">
        <f t="shared" si="6"/>
        <v>9.5988849092007555E-2</v>
      </c>
      <c r="E10">
        <f t="shared" si="1"/>
        <v>90</v>
      </c>
      <c r="F10">
        <f t="shared" si="2"/>
        <v>33.541019662496851</v>
      </c>
    </row>
    <row r="11" spans="1:6">
      <c r="A11">
        <f t="shared" si="3"/>
        <v>0</v>
      </c>
      <c r="B11">
        <f t="shared" si="5"/>
        <v>10</v>
      </c>
      <c r="C11">
        <f t="shared" si="0"/>
        <v>0.34605996598548305</v>
      </c>
      <c r="D11">
        <f t="shared" si="6"/>
        <v>0.1089227906018182</v>
      </c>
      <c r="E11">
        <f t="shared" si="1"/>
        <v>100</v>
      </c>
      <c r="F11">
        <f t="shared" si="2"/>
        <v>35.355339059327378</v>
      </c>
    </row>
    <row r="12" spans="1:6">
      <c r="A12">
        <f t="shared" si="3"/>
        <v>0</v>
      </c>
      <c r="B12">
        <f t="shared" si="5"/>
        <v>11</v>
      </c>
      <c r="C12">
        <f t="shared" si="0"/>
        <v>0.45704862285399861</v>
      </c>
      <c r="D12">
        <f t="shared" si="6"/>
        <v>0.11098865686851556</v>
      </c>
      <c r="E12">
        <f t="shared" si="1"/>
        <v>110</v>
      </c>
      <c r="F12">
        <f t="shared" si="2"/>
        <v>37.080992435478315</v>
      </c>
    </row>
    <row r="13" spans="1:6">
      <c r="A13">
        <f t="shared" si="3"/>
        <v>0</v>
      </c>
      <c r="B13">
        <f t="shared" si="5"/>
        <v>12</v>
      </c>
      <c r="C13">
        <f t="shared" si="0"/>
        <v>0.56155754427331062</v>
      </c>
      <c r="D13">
        <f t="shared" si="6"/>
        <v>0.10450892141931201</v>
      </c>
      <c r="E13">
        <f t="shared" si="1"/>
        <v>120</v>
      </c>
      <c r="F13">
        <f t="shared" si="2"/>
        <v>38.729833462074168</v>
      </c>
    </row>
    <row r="14" spans="1:6">
      <c r="A14">
        <f t="shared" si="3"/>
        <v>0</v>
      </c>
      <c r="B14">
        <f t="shared" si="5"/>
        <v>13</v>
      </c>
      <c r="C14">
        <f t="shared" si="0"/>
        <v>0.65428350942856262</v>
      </c>
      <c r="D14">
        <f t="shared" si="6"/>
        <v>9.2725965155251999E-2</v>
      </c>
      <c r="E14">
        <f t="shared" si="1"/>
        <v>130</v>
      </c>
      <c r="F14">
        <f t="shared" si="2"/>
        <v>40.311288741492746</v>
      </c>
    </row>
    <row r="15" spans="1:6">
      <c r="A15">
        <f t="shared" si="3"/>
        <v>0</v>
      </c>
      <c r="B15">
        <f t="shared" si="5"/>
        <v>14</v>
      </c>
      <c r="C15">
        <f t="shared" si="0"/>
        <v>0.73287086089031794</v>
      </c>
      <c r="D15">
        <f t="shared" si="6"/>
        <v>7.8587351461755328E-2</v>
      </c>
      <c r="E15">
        <f t="shared" si="1"/>
        <v>140</v>
      </c>
      <c r="F15">
        <f t="shared" si="2"/>
        <v>41.83300132670378</v>
      </c>
    </row>
    <row r="16" spans="1:6">
      <c r="A16">
        <f t="shared" si="3"/>
        <v>0</v>
      </c>
      <c r="B16">
        <f t="shared" si="5"/>
        <v>15</v>
      </c>
      <c r="C16">
        <f t="shared" si="0"/>
        <v>0.79712174203424968</v>
      </c>
      <c r="D16">
        <f t="shared" si="6"/>
        <v>6.4250881143931737E-2</v>
      </c>
      <c r="E16">
        <f t="shared" si="1"/>
        <v>150</v>
      </c>
      <c r="F16">
        <f t="shared" si="2"/>
        <v>43.301270189221938</v>
      </c>
    </row>
    <row r="17" spans="1:6">
      <c r="A17">
        <f t="shared" si="3"/>
        <v>1</v>
      </c>
      <c r="B17">
        <f t="shared" si="5"/>
        <v>16</v>
      </c>
      <c r="C17">
        <f t="shared" si="0"/>
        <v>0.84816410891814908</v>
      </c>
      <c r="D17">
        <f t="shared" si="6"/>
        <v>5.1042366883899404E-2</v>
      </c>
      <c r="E17">
        <f t="shared" si="1"/>
        <v>160</v>
      </c>
      <c r="F17">
        <f t="shared" si="2"/>
        <v>44.721359549995796</v>
      </c>
    </row>
    <row r="18" spans="1:6">
      <c r="A18">
        <f t="shared" si="3"/>
        <v>0</v>
      </c>
      <c r="B18">
        <f t="shared" si="5"/>
        <v>17</v>
      </c>
      <c r="C18">
        <f t="shared" si="0"/>
        <v>0.8877808245665022</v>
      </c>
      <c r="D18">
        <f t="shared" si="6"/>
        <v>3.9616715648353118E-2</v>
      </c>
      <c r="E18">
        <f t="shared" si="1"/>
        <v>170</v>
      </c>
      <c r="F18">
        <f t="shared" si="2"/>
        <v>46.097722286464439</v>
      </c>
    </row>
    <row r="19" spans="1:6">
      <c r="A19">
        <f t="shared" si="3"/>
        <v>0</v>
      </c>
      <c r="B19">
        <f t="shared" si="5"/>
        <v>18</v>
      </c>
      <c r="C19">
        <f t="shared" si="0"/>
        <v>0.9179482465871065</v>
      </c>
      <c r="D19">
        <f t="shared" si="6"/>
        <v>3.0167422020604295E-2</v>
      </c>
      <c r="E19">
        <f t="shared" si="1"/>
        <v>180</v>
      </c>
      <c r="F19">
        <f t="shared" si="2"/>
        <v>47.434164902525687</v>
      </c>
    </row>
    <row r="20" spans="1:6">
      <c r="A20">
        <f t="shared" si="3"/>
        <v>0</v>
      </c>
      <c r="B20">
        <f t="shared" si="5"/>
        <v>19</v>
      </c>
      <c r="C20">
        <f t="shared" si="0"/>
        <v>0.94055943170863054</v>
      </c>
      <c r="D20">
        <f t="shared" si="6"/>
        <v>2.2611185121524047E-2</v>
      </c>
      <c r="E20">
        <f t="shared" si="1"/>
        <v>190</v>
      </c>
      <c r="F20">
        <f t="shared" si="2"/>
        <v>48.733971724044828</v>
      </c>
    </row>
    <row r="21" spans="1:6">
      <c r="A21">
        <f t="shared" si="3"/>
        <v>0</v>
      </c>
      <c r="B21">
        <f t="shared" si="5"/>
        <v>20</v>
      </c>
      <c r="C21">
        <f t="shared" si="0"/>
        <v>0.95728377920867103</v>
      </c>
      <c r="D21">
        <f t="shared" si="6"/>
        <v>1.6724347500040482E-2</v>
      </c>
      <c r="E21">
        <f t="shared" si="1"/>
        <v>200</v>
      </c>
      <c r="F21">
        <f t="shared" si="2"/>
        <v>50.000000000000007</v>
      </c>
    </row>
    <row r="22" spans="1:6">
      <c r="A22">
        <f t="shared" si="3"/>
        <v>0</v>
      </c>
      <c r="B22">
        <f t="shared" ref="B22:B33" si="7">B21+1</f>
        <v>21</v>
      </c>
      <c r="C22">
        <f t="shared" ref="C22:C38" si="8">1-NORMDIST(WorkToDo,E22,F22,TRUE)</f>
        <v>0.96951604735065766</v>
      </c>
      <c r="D22">
        <f t="shared" ref="D22:D31" si="9">C22-C21</f>
        <v>1.2232268141986635E-2</v>
      </c>
      <c r="E22">
        <f t="shared" ref="E22:E38" si="10">B22*(MeanVelocity-MeanInflow)</f>
        <v>210</v>
      </c>
      <c r="F22">
        <f t="shared" ref="F22:F38" si="11">SQRT(B22)*SQRT(VelocityDev*VelocityDev + InflowDev*InflowDev)</f>
        <v>51.234753829797995</v>
      </c>
    </row>
    <row r="23" spans="1:6">
      <c r="A23">
        <f t="shared" si="3"/>
        <v>0</v>
      </c>
      <c r="B23">
        <f t="shared" si="7"/>
        <v>22</v>
      </c>
      <c r="C23">
        <f t="shared" si="8"/>
        <v>0.97837774507939101</v>
      </c>
      <c r="D23">
        <f t="shared" si="9"/>
        <v>8.8616977287333532E-3</v>
      </c>
      <c r="E23">
        <f t="shared" si="10"/>
        <v>220</v>
      </c>
      <c r="F23">
        <f t="shared" si="11"/>
        <v>52.440442408507579</v>
      </c>
    </row>
    <row r="24" spans="1:6">
      <c r="A24">
        <f t="shared" si="3"/>
        <v>0</v>
      </c>
      <c r="B24">
        <f t="shared" si="7"/>
        <v>23</v>
      </c>
      <c r="C24">
        <f t="shared" si="8"/>
        <v>0.98474521482078292</v>
      </c>
      <c r="D24">
        <f t="shared" si="9"/>
        <v>6.3674697413919068E-3</v>
      </c>
      <c r="E24">
        <f t="shared" si="10"/>
        <v>230</v>
      </c>
      <c r="F24">
        <f t="shared" si="11"/>
        <v>53.619026473818039</v>
      </c>
    </row>
    <row r="25" spans="1:6">
      <c r="A25">
        <f t="shared" si="3"/>
        <v>0</v>
      </c>
      <c r="B25">
        <f t="shared" si="7"/>
        <v>24</v>
      </c>
      <c r="C25">
        <f t="shared" si="8"/>
        <v>0.98928819876259333</v>
      </c>
      <c r="D25">
        <f t="shared" si="9"/>
        <v>4.5429839418104079E-3</v>
      </c>
      <c r="E25">
        <f t="shared" si="10"/>
        <v>240</v>
      </c>
      <c r="F25">
        <f t="shared" si="11"/>
        <v>54.772255750516607</v>
      </c>
    </row>
    <row r="26" spans="1:6">
      <c r="A26">
        <f t="shared" si="3"/>
        <v>0</v>
      </c>
      <c r="B26">
        <f t="shared" si="7"/>
        <v>25</v>
      </c>
      <c r="C26">
        <f t="shared" si="8"/>
        <v>0.99250958095845954</v>
      </c>
      <c r="D26">
        <f t="shared" si="9"/>
        <v>3.221382195866207E-3</v>
      </c>
      <c r="E26">
        <f t="shared" si="10"/>
        <v>250</v>
      </c>
      <c r="F26">
        <f t="shared" si="11"/>
        <v>55.901699437494742</v>
      </c>
    </row>
    <row r="27" spans="1:6">
      <c r="A27">
        <f t="shared" si="3"/>
        <v>0</v>
      </c>
      <c r="B27">
        <f t="shared" si="7"/>
        <v>26</v>
      </c>
      <c r="C27">
        <f t="shared" si="8"/>
        <v>0.99478157363307607</v>
      </c>
      <c r="D27">
        <f t="shared" si="9"/>
        <v>2.2719926746165298E-3</v>
      </c>
      <c r="E27">
        <f t="shared" si="10"/>
        <v>260</v>
      </c>
      <c r="F27">
        <f t="shared" si="11"/>
        <v>57.008771254956898</v>
      </c>
    </row>
    <row r="28" spans="1:6">
      <c r="A28">
        <f t="shared" si="3"/>
        <v>0</v>
      </c>
      <c r="B28">
        <f t="shared" si="7"/>
        <v>27</v>
      </c>
      <c r="C28">
        <f t="shared" si="8"/>
        <v>0.99637642147338079</v>
      </c>
      <c r="D28">
        <f t="shared" si="9"/>
        <v>1.594847840304725E-3</v>
      </c>
      <c r="E28">
        <f t="shared" si="10"/>
        <v>270</v>
      </c>
      <c r="F28">
        <f t="shared" si="11"/>
        <v>58.09475019311126</v>
      </c>
    </row>
    <row r="29" spans="1:6">
      <c r="A29">
        <f t="shared" si="3"/>
        <v>0</v>
      </c>
      <c r="B29">
        <f t="shared" si="7"/>
        <v>28</v>
      </c>
      <c r="C29">
        <f t="shared" si="8"/>
        <v>0.99749128133470866</v>
      </c>
      <c r="D29">
        <f t="shared" si="9"/>
        <v>1.114859861327866E-3</v>
      </c>
      <c r="E29">
        <f t="shared" si="10"/>
        <v>280</v>
      </c>
      <c r="F29">
        <f t="shared" si="11"/>
        <v>59.160797830996167</v>
      </c>
    </row>
    <row r="30" spans="1:6">
      <c r="A30">
        <f t="shared" si="3"/>
        <v>0</v>
      </c>
      <c r="B30">
        <f t="shared" si="7"/>
        <v>29</v>
      </c>
      <c r="C30">
        <f t="shared" si="8"/>
        <v>0.99826773544452085</v>
      </c>
      <c r="D30">
        <f t="shared" si="9"/>
        <v>7.7645410981219687E-4</v>
      </c>
      <c r="E30">
        <f t="shared" si="10"/>
        <v>290</v>
      </c>
      <c r="F30">
        <f t="shared" si="11"/>
        <v>60.207972893961475</v>
      </c>
    </row>
    <row r="31" spans="1:6">
      <c r="A31">
        <f t="shared" si="3"/>
        <v>0</v>
      </c>
      <c r="B31">
        <f t="shared" si="7"/>
        <v>30</v>
      </c>
      <c r="C31">
        <f t="shared" si="8"/>
        <v>0.99880672763494238</v>
      </c>
      <c r="D31">
        <f t="shared" si="9"/>
        <v>5.3899219042152779E-4</v>
      </c>
      <c r="E31">
        <f t="shared" si="10"/>
        <v>300</v>
      </c>
      <c r="F31">
        <f t="shared" si="11"/>
        <v>61.237243569579455</v>
      </c>
    </row>
    <row r="32" spans="1:6">
      <c r="A32">
        <f t="shared" si="3"/>
        <v>0</v>
      </c>
      <c r="B32">
        <f t="shared" si="7"/>
        <v>31</v>
      </c>
      <c r="C32">
        <f t="shared" si="8"/>
        <v>0.99917978257099693</v>
      </c>
      <c r="D32">
        <f t="shared" ref="D32:D38" si="12">C32-C31</f>
        <v>3.7305493605455098E-4</v>
      </c>
      <c r="E32">
        <f t="shared" si="10"/>
        <v>310</v>
      </c>
      <c r="F32">
        <f t="shared" si="11"/>
        <v>62.249497989943663</v>
      </c>
    </row>
    <row r="33" spans="1:6">
      <c r="A33">
        <f t="shared" si="3"/>
        <v>0</v>
      </c>
      <c r="B33">
        <f t="shared" si="7"/>
        <v>32</v>
      </c>
      <c r="C33">
        <f t="shared" si="8"/>
        <v>0.99943730731708258</v>
      </c>
      <c r="D33">
        <f t="shared" si="12"/>
        <v>2.5752474608564668E-4</v>
      </c>
      <c r="E33">
        <f t="shared" si="10"/>
        <v>320</v>
      </c>
      <c r="F33">
        <f t="shared" si="11"/>
        <v>63.245553203367592</v>
      </c>
    </row>
    <row r="34" spans="1:6">
      <c r="A34">
        <f t="shared" si="3"/>
        <v>0</v>
      </c>
      <c r="B34">
        <f t="shared" ref="B34:B42" si="13">B33+1</f>
        <v>33</v>
      </c>
      <c r="C34">
        <f t="shared" si="8"/>
        <v>0.99961465935408889</v>
      </c>
      <c r="D34">
        <f t="shared" si="12"/>
        <v>1.7735203700630642E-4</v>
      </c>
      <c r="E34">
        <f t="shared" si="10"/>
        <v>330</v>
      </c>
      <c r="F34">
        <f t="shared" si="11"/>
        <v>64.22616289332565</v>
      </c>
    </row>
    <row r="35" spans="1:6">
      <c r="A35">
        <f t="shared" si="3"/>
        <v>0</v>
      </c>
      <c r="B35">
        <f t="shared" si="13"/>
        <v>34</v>
      </c>
      <c r="C35">
        <f t="shared" si="8"/>
        <v>0.99973653731721268</v>
      </c>
      <c r="D35">
        <f t="shared" si="12"/>
        <v>1.218779631237954E-4</v>
      </c>
      <c r="E35">
        <f t="shared" si="10"/>
        <v>340</v>
      </c>
      <c r="F35">
        <f t="shared" si="11"/>
        <v>65.192024052026497</v>
      </c>
    </row>
    <row r="36" spans="1:6">
      <c r="A36">
        <f t="shared" si="3"/>
        <v>0</v>
      </c>
      <c r="B36">
        <f t="shared" si="13"/>
        <v>35</v>
      </c>
      <c r="C36">
        <f t="shared" si="8"/>
        <v>0.99982013119636426</v>
      </c>
      <c r="D36">
        <f t="shared" si="12"/>
        <v>8.3593879151577788E-5</v>
      </c>
      <c r="E36">
        <f t="shared" si="10"/>
        <v>350</v>
      </c>
      <c r="F36">
        <f t="shared" si="11"/>
        <v>66.143782776614771</v>
      </c>
    </row>
    <row r="37" spans="1:6">
      <c r="A37">
        <f t="shared" si="3"/>
        <v>0</v>
      </c>
      <c r="B37">
        <f t="shared" si="13"/>
        <v>36</v>
      </c>
      <c r="C37">
        <f t="shared" si="8"/>
        <v>0.99987736624629509</v>
      </c>
      <c r="D37">
        <f t="shared" si="12"/>
        <v>5.7235049930826065E-5</v>
      </c>
      <c r="E37">
        <f t="shared" si="10"/>
        <v>360</v>
      </c>
      <c r="F37">
        <f t="shared" si="11"/>
        <v>67.082039324993701</v>
      </c>
    </row>
    <row r="38" spans="1:6">
      <c r="A38">
        <f t="shared" si="3"/>
        <v>0</v>
      </c>
      <c r="B38">
        <f t="shared" si="13"/>
        <v>37</v>
      </c>
      <c r="C38">
        <f t="shared" si="8"/>
        <v>0.99991649148146478</v>
      </c>
      <c r="D38">
        <f t="shared" si="12"/>
        <v>3.9125235169690242E-5</v>
      </c>
      <c r="E38">
        <f t="shared" si="10"/>
        <v>370</v>
      </c>
      <c r="F38">
        <f t="shared" si="11"/>
        <v>68.007352543677214</v>
      </c>
    </row>
    <row r="39" spans="1:6">
      <c r="A39">
        <f t="shared" si="3"/>
        <v>0</v>
      </c>
      <c r="B39">
        <f t="shared" si="13"/>
        <v>38</v>
      </c>
      <c r="C39">
        <f t="shared" ref="C39:C42" si="14">1-NORMDIST(WorkToDo,E39,F39,TRUE)</f>
        <v>0.99994319819321409</v>
      </c>
      <c r="D39">
        <f t="shared" ref="D39:D42" si="15">C39-C38</f>
        <v>2.6706711749313605E-5</v>
      </c>
      <c r="E39">
        <f t="shared" ref="E39:E42" si="16">B39*(MeanVelocity-MeanInflow)</f>
        <v>380</v>
      </c>
      <c r="F39">
        <f t="shared" ref="F39:F42" si="17">SQRT(B39)*SQRT(VelocityDev*VelocityDev + InflowDev*InflowDev)</f>
        <v>68.9202437604511</v>
      </c>
    </row>
    <row r="40" spans="1:6">
      <c r="A40">
        <f t="shared" si="3"/>
        <v>0</v>
      </c>
      <c r="B40">
        <f t="shared" si="13"/>
        <v>39</v>
      </c>
      <c r="C40">
        <f t="shared" si="14"/>
        <v>0.99996140387636889</v>
      </c>
      <c r="D40">
        <f t="shared" si="15"/>
        <v>1.8205683154803864E-5</v>
      </c>
      <c r="E40">
        <f t="shared" si="16"/>
        <v>390</v>
      </c>
      <c r="F40">
        <f t="shared" si="17"/>
        <v>69.821200218844709</v>
      </c>
    </row>
    <row r="41" spans="1:6">
      <c r="A41">
        <f t="shared" si="3"/>
        <v>0</v>
      </c>
      <c r="B41">
        <f t="shared" si="13"/>
        <v>40</v>
      </c>
      <c r="C41">
        <f t="shared" si="14"/>
        <v>0.99997379941347631</v>
      </c>
      <c r="D41">
        <f t="shared" si="15"/>
        <v>1.239553710741248E-5</v>
      </c>
      <c r="E41">
        <f t="shared" si="16"/>
        <v>400</v>
      </c>
      <c r="F41">
        <f t="shared" si="17"/>
        <v>70.710678118654755</v>
      </c>
    </row>
    <row r="42" spans="1:6">
      <c r="A42">
        <f t="shared" si="3"/>
        <v>0</v>
      </c>
      <c r="B42">
        <f t="shared" si="13"/>
        <v>41</v>
      </c>
      <c r="C42">
        <f t="shared" si="14"/>
        <v>0.99998222963807193</v>
      </c>
      <c r="D42">
        <f t="shared" si="15"/>
        <v>8.4302245956235922E-6</v>
      </c>
      <c r="E42">
        <f t="shared" si="16"/>
        <v>410</v>
      </c>
      <c r="F42">
        <f t="shared" si="17"/>
        <v>71.589105316381762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6</vt:i4>
      </vt:variant>
    </vt:vector>
  </HeadingPairs>
  <TitlesOfParts>
    <vt:vector size="10" baseType="lpstr">
      <vt:lpstr>RoughEstimations</vt:lpstr>
      <vt:lpstr>Backlog</vt:lpstr>
      <vt:lpstr>Risks</vt:lpstr>
      <vt:lpstr>Calcs</vt:lpstr>
      <vt:lpstr>ConfidenceLevel</vt:lpstr>
      <vt:lpstr>InflowDev</vt:lpstr>
      <vt:lpstr>MeanInflow</vt:lpstr>
      <vt:lpstr>MeanVelocity</vt:lpstr>
      <vt:lpstr>VelocityDev</vt:lpstr>
      <vt:lpstr>WorkToDo</vt:lpstr>
    </vt:vector>
  </TitlesOfParts>
  <Company>Kaspersky LAB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Estimation Template</dc:title>
  <dc:creator>Maxim Dorofeev</dc:creator>
  <cp:lastModifiedBy>dorofeev</cp:lastModifiedBy>
  <dcterms:created xsi:type="dcterms:W3CDTF">2010-01-26T15:28:51Z</dcterms:created>
  <dcterms:modified xsi:type="dcterms:W3CDTF">2011-12-21T16:28:56Z</dcterms:modified>
</cp:coreProperties>
</file>